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Mennyezetfűtés\_projektek F\2025\06_18 angol invest péterhegyi lejtúő\"/>
    </mc:Choice>
  </mc:AlternateContent>
  <bookViews>
    <workbookView xWindow="-120" yWindow="-120" windowWidth="28920" windowHeight="14055"/>
  </bookViews>
  <sheets>
    <sheet name="Számolgatós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9" i="2" l="1"/>
  <c r="H39" i="2"/>
  <c r="J38" i="2"/>
  <c r="H38" i="2"/>
  <c r="J37" i="2"/>
  <c r="H37" i="2"/>
  <c r="J36" i="2" l="1"/>
  <c r="H36" i="2"/>
  <c r="J35" i="2"/>
  <c r="H35" i="2"/>
  <c r="J34" i="2"/>
  <c r="H34" i="2"/>
  <c r="J33" i="2"/>
  <c r="H33" i="2"/>
  <c r="J32" i="2"/>
  <c r="H32" i="2"/>
  <c r="J31" i="2"/>
  <c r="H31" i="2"/>
  <c r="J30" i="2"/>
  <c r="H30" i="2"/>
  <c r="J29" i="2"/>
  <c r="H29" i="2"/>
  <c r="J28" i="2"/>
  <c r="H28" i="2"/>
  <c r="J27" i="2"/>
  <c r="H27" i="2"/>
  <c r="J26" i="2"/>
  <c r="H26" i="2"/>
  <c r="J25" i="2"/>
  <c r="H25" i="2"/>
  <c r="J24" i="2"/>
  <c r="H24" i="2"/>
  <c r="J23" i="2"/>
  <c r="H23" i="2"/>
  <c r="J22" i="2"/>
  <c r="H22" i="2"/>
  <c r="J21" i="2"/>
  <c r="H21" i="2"/>
  <c r="J20" i="2"/>
  <c r="H20" i="2"/>
  <c r="J19" i="2"/>
  <c r="H19" i="2"/>
  <c r="J18" i="2"/>
  <c r="H18" i="2"/>
  <c r="J17" i="2"/>
  <c r="H17" i="2"/>
  <c r="J16" i="2"/>
  <c r="H16" i="2"/>
  <c r="J15" i="2"/>
  <c r="H15" i="2"/>
  <c r="J48" i="2"/>
  <c r="J5" i="2" l="1"/>
  <c r="J4" i="2"/>
  <c r="H6" i="2"/>
  <c r="H5" i="2"/>
  <c r="H4" i="2"/>
  <c r="J7" i="2" l="1"/>
  <c r="J14" i="2"/>
  <c r="J13" i="2"/>
  <c r="J12" i="2"/>
  <c r="J11" i="2"/>
  <c r="J10" i="2"/>
  <c r="J9" i="2"/>
  <c r="J8" i="2"/>
  <c r="J6" i="2"/>
  <c r="J43" i="2" l="1"/>
  <c r="H14" i="2" l="1"/>
  <c r="H12" i="2"/>
  <c r="H11" i="2"/>
  <c r="H10" i="2"/>
  <c r="H13" i="2" l="1"/>
  <c r="H9" i="2" l="1"/>
  <c r="H8" i="2"/>
  <c r="H7" i="2" l="1"/>
  <c r="H43" i="2" s="1"/>
  <c r="J45" i="2"/>
  <c r="H45" i="2" l="1"/>
  <c r="J47" i="2" s="1"/>
  <c r="J51" i="2" s="1"/>
</calcChain>
</file>

<file path=xl/sharedStrings.xml><?xml version="1.0" encoding="utf-8"?>
<sst xmlns="http://schemas.openxmlformats.org/spreadsheetml/2006/main" count="50" uniqueCount="16">
  <si>
    <t>gerincvezeték</t>
  </si>
  <si>
    <t>sorszám</t>
  </si>
  <si>
    <t>szélesség</t>
  </si>
  <si>
    <t>hosszúság</t>
  </si>
  <si>
    <t>Összesen</t>
  </si>
  <si>
    <t>A vezeték</t>
  </si>
  <si>
    <t>B vezeték</t>
  </si>
  <si>
    <t>betonfödémbe integrált monolit fűtés/hűtés 16x2 csővel</t>
  </si>
  <si>
    <t xml:space="preserve">födémátvezető dobozok </t>
  </si>
  <si>
    <t>FSZ</t>
  </si>
  <si>
    <t>EM</t>
  </si>
  <si>
    <t>üveszövet vágási hulladék</t>
  </si>
  <si>
    <t>Összesen bruttó</t>
  </si>
  <si>
    <t>rendeléstől 7 munkanap</t>
  </si>
  <si>
    <t>szallitas/db</t>
  </si>
  <si>
    <t>1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</si>
</sst>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4" formatCode="_-* #,##0.00\ &quot;Ft&quot;_-;\-* #,##0.00\ &quot;Ft&quot;_-;_-* &quot;-&quot;??\ &quot;Ft&quot;_-;_-@_-"/>
    <numFmt numFmtId="164" formatCode="#,##0.0\ [$ m2]"/>
    <numFmt numFmtId="165" formatCode="#,##0.0\ [$ m]"/>
    <numFmt numFmtId="166" formatCode="#,##0\ [$ m]"/>
    <numFmt numFmtId="167" formatCode="#,##0\ [$ Ft/m]"/>
    <numFmt numFmtId="168" formatCode="#,##0\ [$ Ft/m2]"/>
    <numFmt numFmtId="169" formatCode="_-* #,##0\ &quot;Ft&quot;_-;\-* #,##0\ &quot;Ft&quot;_-;_-* &quot;-&quot;??\ &quot;Ft&quot;_-;_-@_-"/>
    <numFmt numFmtId="170" formatCode="#,##0\ &quot;Ft&quot;"/>
    <numFmt numFmtId="172" formatCode="#,##0.00\ [$ m]"/>
  </numFmts>
  <fonts count="1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5"/>
      <color theme="1"/>
      <name val="Calibri"/>
      <family val="2"/>
      <charset val="238"/>
      <scheme val="minor"/>
    </font>
    <font>
      <b/>
      <sz val="15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5">
    <xf numFmtId="0" fontId="0" fillId="0" borderId="0" xfId="0"/>
    <xf numFmtId="164" fontId="0" fillId="0" borderId="0" xfId="0" applyNumberFormat="1"/>
    <xf numFmtId="169" fontId="0" fillId="0" borderId="0" xfId="1" applyNumberFormat="1" applyFont="1"/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70" fontId="0" fillId="0" borderId="0" xfId="0" applyNumberFormat="1"/>
    <xf numFmtId="165" fontId="0" fillId="0" borderId="0" xfId="0" applyNumberFormat="1"/>
    <xf numFmtId="170" fontId="0" fillId="2" borderId="0" xfId="0" applyNumberFormat="1" applyFill="1"/>
    <xf numFmtId="0" fontId="0" fillId="0" borderId="9" xfId="0" applyBorder="1"/>
    <xf numFmtId="169" fontId="2" fillId="2" borderId="10" xfId="0" applyNumberFormat="1" applyFont="1" applyFill="1" applyBorder="1"/>
    <xf numFmtId="4" fontId="0" fillId="0" borderId="0" xfId="0" applyNumberFormat="1"/>
    <xf numFmtId="164" fontId="5" fillId="0" borderId="0" xfId="0" applyNumberFormat="1" applyFont="1"/>
    <xf numFmtId="169" fontId="5" fillId="0" borderId="0" xfId="0" applyNumberFormat="1" applyFont="1"/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7" fillId="0" borderId="0" xfId="0" applyFont="1" applyAlignment="1">
      <alignment vertical="center"/>
    </xf>
    <xf numFmtId="0" fontId="0" fillId="0" borderId="9" xfId="0" applyBorder="1" applyAlignment="1">
      <alignment horizontal="center"/>
    </xf>
    <xf numFmtId="164" fontId="3" fillId="0" borderId="0" xfId="0" applyNumberFormat="1" applyFont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166" fontId="9" fillId="0" borderId="4" xfId="0" applyNumberFormat="1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66" fontId="9" fillId="2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166" fontId="9" fillId="3" borderId="4" xfId="0" applyNumberFormat="1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166" fontId="9" fillId="4" borderId="4" xfId="0" applyNumberFormat="1" applyFont="1" applyFill="1" applyBorder="1" applyAlignment="1">
      <alignment horizontal="center" vertical="center"/>
    </xf>
    <xf numFmtId="172" fontId="9" fillId="0" borderId="4" xfId="0" applyNumberFormat="1" applyFont="1" applyBorder="1" applyAlignment="1">
      <alignment horizontal="center" vertical="center"/>
    </xf>
    <xf numFmtId="172" fontId="8" fillId="0" borderId="4" xfId="0" applyNumberFormat="1" applyFont="1" applyBorder="1" applyAlignment="1">
      <alignment horizontal="center" vertical="center"/>
    </xf>
    <xf numFmtId="172" fontId="8" fillId="2" borderId="4" xfId="0" applyNumberFormat="1" applyFont="1" applyFill="1" applyBorder="1" applyAlignment="1">
      <alignment horizontal="center" vertical="center"/>
    </xf>
    <xf numFmtId="172" fontId="9" fillId="2" borderId="4" xfId="0" applyNumberFormat="1" applyFont="1" applyFill="1" applyBorder="1" applyAlignment="1">
      <alignment horizontal="center" vertical="center"/>
    </xf>
    <xf numFmtId="172" fontId="8" fillId="3" borderId="4" xfId="0" applyNumberFormat="1" applyFont="1" applyFill="1" applyBorder="1" applyAlignment="1">
      <alignment horizontal="center" vertical="center"/>
    </xf>
    <xf numFmtId="172" fontId="9" fillId="3" borderId="4" xfId="0" applyNumberFormat="1" applyFont="1" applyFill="1" applyBorder="1" applyAlignment="1">
      <alignment horizontal="center" vertical="center"/>
    </xf>
    <xf numFmtId="172" fontId="8" fillId="4" borderId="4" xfId="0" applyNumberFormat="1" applyFont="1" applyFill="1" applyBorder="1" applyAlignment="1">
      <alignment horizontal="center" vertical="center"/>
    </xf>
    <xf numFmtId="172" fontId="9" fillId="4" borderId="4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2" fontId="8" fillId="0" borderId="2" xfId="0" applyNumberFormat="1" applyFont="1" applyBorder="1" applyAlignment="1">
      <alignment horizontal="center" vertical="center"/>
    </xf>
    <xf numFmtId="172" fontId="9" fillId="0" borderId="2" xfId="0" applyNumberFormat="1" applyFont="1" applyBorder="1" applyAlignment="1">
      <alignment horizontal="center" vertical="center"/>
    </xf>
    <xf numFmtId="166" fontId="9" fillId="0" borderId="2" xfId="0" applyNumberFormat="1" applyFont="1" applyBorder="1" applyAlignment="1">
      <alignment horizontal="center" vertical="center"/>
    </xf>
    <xf numFmtId="166" fontId="9" fillId="0" borderId="3" xfId="0" applyNumberFormat="1" applyFont="1" applyBorder="1" applyAlignment="1">
      <alignment horizontal="center" vertical="center"/>
    </xf>
    <xf numFmtId="166" fontId="9" fillId="2" borderId="12" xfId="0" applyNumberFormat="1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172" fontId="8" fillId="0" borderId="13" xfId="0" applyNumberFormat="1" applyFont="1" applyBorder="1" applyAlignment="1">
      <alignment horizontal="center" vertical="center"/>
    </xf>
    <xf numFmtId="172" fontId="9" fillId="0" borderId="13" xfId="0" applyNumberFormat="1" applyFont="1" applyBorder="1" applyAlignment="1">
      <alignment horizontal="center" vertical="center"/>
    </xf>
    <xf numFmtId="166" fontId="9" fillId="0" borderId="13" xfId="0" applyNumberFormat="1" applyFont="1" applyBorder="1" applyAlignment="1">
      <alignment horizontal="center" vertical="center"/>
    </xf>
    <xf numFmtId="166" fontId="9" fillId="0" borderId="14" xfId="0" applyNumberFormat="1" applyFont="1" applyBorder="1" applyAlignment="1">
      <alignment horizontal="center" vertical="center"/>
    </xf>
    <xf numFmtId="166" fontId="9" fillId="0" borderId="12" xfId="0" applyNumberFormat="1" applyFont="1" applyBorder="1" applyAlignment="1">
      <alignment horizontal="center" vertical="center"/>
    </xf>
    <xf numFmtId="166" fontId="9" fillId="4" borderId="12" xfId="0" applyNumberFormat="1" applyFont="1" applyFill="1" applyBorder="1" applyAlignment="1">
      <alignment horizontal="center" vertical="center"/>
    </xf>
    <xf numFmtId="166" fontId="9" fillId="3" borderId="12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6" fontId="4" fillId="0" borderId="13" xfId="0" applyNumberFormat="1" applyFont="1" applyBorder="1" applyAlignment="1">
      <alignment horizontal="center" vertical="center"/>
    </xf>
    <xf numFmtId="164" fontId="4" fillId="0" borderId="14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72" fontId="8" fillId="0" borderId="8" xfId="0" applyNumberFormat="1" applyFont="1" applyBorder="1" applyAlignment="1">
      <alignment horizontal="center" vertical="center"/>
    </xf>
    <xf numFmtId="172" fontId="9" fillId="0" borderId="8" xfId="0" applyNumberFormat="1" applyFont="1" applyBorder="1" applyAlignment="1">
      <alignment horizontal="center" vertical="center"/>
    </xf>
    <xf numFmtId="166" fontId="9" fillId="0" borderId="8" xfId="0" applyNumberFormat="1" applyFont="1" applyBorder="1" applyAlignment="1">
      <alignment horizontal="center" vertical="center"/>
    </xf>
    <xf numFmtId="166" fontId="9" fillId="0" borderId="15" xfId="0" applyNumberFormat="1" applyFont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172" fontId="8" fillId="6" borderId="4" xfId="0" applyNumberFormat="1" applyFont="1" applyFill="1" applyBorder="1" applyAlignment="1">
      <alignment horizontal="center" vertical="center"/>
    </xf>
    <xf numFmtId="172" fontId="9" fillId="6" borderId="4" xfId="0" applyNumberFormat="1" applyFont="1" applyFill="1" applyBorder="1" applyAlignment="1">
      <alignment horizontal="center" vertical="center"/>
    </xf>
    <xf numFmtId="166" fontId="9" fillId="6" borderId="4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172" fontId="8" fillId="5" borderId="2" xfId="0" applyNumberFormat="1" applyFont="1" applyFill="1" applyBorder="1" applyAlignment="1">
      <alignment horizontal="center" vertical="center"/>
    </xf>
    <xf numFmtId="172" fontId="9" fillId="5" borderId="2" xfId="0" applyNumberFormat="1" applyFont="1" applyFill="1" applyBorder="1" applyAlignment="1">
      <alignment horizontal="center" vertical="center"/>
    </xf>
    <xf numFmtId="166" fontId="9" fillId="5" borderId="2" xfId="0" applyNumberFormat="1" applyFont="1" applyFill="1" applyBorder="1" applyAlignment="1">
      <alignment horizontal="center" vertical="center"/>
    </xf>
    <xf numFmtId="166" fontId="9" fillId="5" borderId="3" xfId="0" applyNumberFormat="1" applyFont="1" applyFill="1" applyBorder="1" applyAlignment="1">
      <alignment horizontal="center" vertical="center"/>
    </xf>
    <xf numFmtId="166" fontId="9" fillId="6" borderId="12" xfId="0" applyNumberFormat="1" applyFont="1" applyFill="1" applyBorder="1" applyAlignment="1">
      <alignment horizontal="center" vertical="center"/>
    </xf>
    <xf numFmtId="0" fontId="0" fillId="2" borderId="0" xfId="0" applyFill="1"/>
    <xf numFmtId="0" fontId="6" fillId="2" borderId="0" xfId="0" applyFont="1" applyFill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1" fillId="0" borderId="1" xfId="0" applyFont="1" applyBorder="1" applyAlignment="1">
      <alignment horizontal="right" vertical="center"/>
    </xf>
    <xf numFmtId="0" fontId="11" fillId="0" borderId="11" xfId="0" applyFont="1" applyBorder="1" applyAlignment="1">
      <alignment horizontal="right" vertical="center" wrapText="1"/>
    </xf>
    <xf numFmtId="169" fontId="0" fillId="0" borderId="0" xfId="1" applyNumberFormat="1" applyFont="1" applyAlignment="1">
      <alignment horizontal="center"/>
    </xf>
  </cellXfs>
  <cellStyles count="2">
    <cellStyle name="Normál" xfId="0" builtinId="0"/>
    <cellStyle name="Pénznem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3"/>
  <sheetViews>
    <sheetView tabSelected="1" zoomScaleNormal="100" workbookViewId="0">
      <selection activeCell="M51" sqref="M51"/>
    </sheetView>
  </sheetViews>
  <sheetFormatPr defaultRowHeight="15" x14ac:dyDescent="0.25"/>
  <cols>
    <col min="1" max="1" width="16.5703125" bestFit="1" customWidth="1"/>
    <col min="2" max="2" width="18.28515625" bestFit="1" customWidth="1"/>
    <col min="4" max="4" width="10.140625" bestFit="1" customWidth="1"/>
    <col min="5" max="5" width="13.5703125" customWidth="1"/>
    <col min="6" max="6" width="23.42578125" bestFit="1" customWidth="1"/>
    <col min="7" max="7" width="17" customWidth="1"/>
    <col min="8" max="8" width="9.140625" bestFit="1" customWidth="1"/>
    <col min="9" max="9" width="16.7109375" bestFit="1" customWidth="1"/>
    <col min="10" max="10" width="14.140625" bestFit="1" customWidth="1"/>
    <col min="11" max="11" width="10.7109375" bestFit="1" customWidth="1"/>
    <col min="14" max="14" width="11" bestFit="1" customWidth="1"/>
    <col min="15" max="15" width="12.140625" bestFit="1" customWidth="1"/>
    <col min="20" max="20" width="13.28515625" bestFit="1" customWidth="1"/>
    <col min="21" max="21" width="11" bestFit="1" customWidth="1"/>
    <col min="22" max="22" width="13.28515625" bestFit="1" customWidth="1"/>
    <col min="24" max="24" width="12.140625" bestFit="1" customWidth="1"/>
    <col min="27" max="27" width="10" bestFit="1" customWidth="1"/>
  </cols>
  <sheetData>
    <row r="1" spans="1:21" x14ac:dyDescent="0.25">
      <c r="F1" s="80"/>
      <c r="G1" s="80"/>
      <c r="J1" s="1"/>
    </row>
    <row r="2" spans="1:21" ht="15.75" thickBot="1" x14ac:dyDescent="0.3">
      <c r="B2" t="s">
        <v>7</v>
      </c>
      <c r="F2" s="81" t="s">
        <v>0</v>
      </c>
      <c r="G2" s="81"/>
    </row>
    <row r="3" spans="1:21" ht="15.75" thickBot="1" x14ac:dyDescent="0.3">
      <c r="C3" s="3" t="s">
        <v>1</v>
      </c>
      <c r="D3" s="3" t="s">
        <v>2</v>
      </c>
      <c r="E3" s="14" t="s">
        <v>3</v>
      </c>
      <c r="F3" s="76" t="s">
        <v>5</v>
      </c>
      <c r="G3" s="76" t="s">
        <v>6</v>
      </c>
      <c r="H3" s="77" t="s">
        <v>4</v>
      </c>
      <c r="I3" s="78"/>
      <c r="J3" s="79"/>
    </row>
    <row r="4" spans="1:21" ht="16.5" customHeight="1" thickBot="1" x14ac:dyDescent="0.3">
      <c r="A4" s="52"/>
      <c r="B4" s="82" t="s">
        <v>9</v>
      </c>
      <c r="C4" s="36">
        <v>1</v>
      </c>
      <c r="D4" s="37">
        <v>0.8</v>
      </c>
      <c r="E4" s="38">
        <v>5</v>
      </c>
      <c r="F4" s="39">
        <v>6</v>
      </c>
      <c r="G4" s="40">
        <v>6</v>
      </c>
      <c r="H4" s="54">
        <f>F4+G4</f>
        <v>12</v>
      </c>
      <c r="I4" s="53"/>
      <c r="J4" s="55">
        <f>D4*E4</f>
        <v>4</v>
      </c>
      <c r="K4" s="6"/>
      <c r="L4" s="11"/>
      <c r="N4" s="11"/>
      <c r="O4" s="17"/>
      <c r="P4" s="17"/>
      <c r="Q4" s="17"/>
      <c r="R4" s="17"/>
      <c r="S4" s="17"/>
      <c r="T4" s="17"/>
      <c r="U4" s="17"/>
    </row>
    <row r="5" spans="1:21" ht="16.5" customHeight="1" thickBot="1" x14ac:dyDescent="0.3">
      <c r="A5" s="52"/>
      <c r="B5" s="82" t="s">
        <v>9</v>
      </c>
      <c r="C5" s="22">
        <v>2</v>
      </c>
      <c r="D5" s="30">
        <v>0.8</v>
      </c>
      <c r="E5" s="31">
        <v>5</v>
      </c>
      <c r="F5" s="23">
        <v>5.5</v>
      </c>
      <c r="G5" s="40">
        <v>6</v>
      </c>
      <c r="H5" s="51">
        <f>F5+G5</f>
        <v>11.5</v>
      </c>
      <c r="I5" s="50"/>
      <c r="J5" s="56">
        <f>D5*E5</f>
        <v>4</v>
      </c>
      <c r="K5" s="6"/>
      <c r="L5" s="11"/>
      <c r="N5" s="11"/>
      <c r="O5" s="17"/>
      <c r="P5" s="17"/>
      <c r="Q5" s="17"/>
      <c r="R5" s="17"/>
      <c r="S5" s="17"/>
      <c r="T5" s="17"/>
      <c r="U5" s="17"/>
    </row>
    <row r="6" spans="1:21" ht="16.5" customHeight="1" thickBot="1" x14ac:dyDescent="0.3">
      <c r="A6" s="52"/>
      <c r="B6" s="82" t="s">
        <v>9</v>
      </c>
      <c r="C6" s="20">
        <v>3</v>
      </c>
      <c r="D6" s="29">
        <v>0.8</v>
      </c>
      <c r="E6" s="28">
        <v>5</v>
      </c>
      <c r="F6" s="21">
        <v>5</v>
      </c>
      <c r="G6" s="47">
        <v>5</v>
      </c>
      <c r="H6" s="58">
        <f>F6+G6</f>
        <v>10</v>
      </c>
      <c r="I6" s="57"/>
      <c r="J6" s="59">
        <f t="shared" ref="J6:J14" si="0">D6*E6</f>
        <v>4</v>
      </c>
      <c r="K6" s="6"/>
      <c r="L6" s="11"/>
      <c r="N6" s="11"/>
      <c r="O6" s="17"/>
      <c r="P6" s="17"/>
      <c r="Q6" s="17"/>
      <c r="R6" s="17"/>
      <c r="S6" s="17"/>
      <c r="T6" s="17"/>
      <c r="U6" s="17"/>
    </row>
    <row r="7" spans="1:21" ht="16.5" customHeight="1" thickBot="1" x14ac:dyDescent="0.3">
      <c r="A7" s="52"/>
      <c r="B7" s="82" t="s">
        <v>9</v>
      </c>
      <c r="C7" s="24">
        <v>4</v>
      </c>
      <c r="D7" s="32">
        <v>1</v>
      </c>
      <c r="E7" s="33">
        <v>5</v>
      </c>
      <c r="F7" s="25">
        <v>4</v>
      </c>
      <c r="G7" s="49">
        <v>4</v>
      </c>
      <c r="H7" s="54">
        <f t="shared" ref="H7:H14" si="1">F7+G7</f>
        <v>8</v>
      </c>
      <c r="I7" s="53"/>
      <c r="J7" s="55">
        <f t="shared" si="0"/>
        <v>5</v>
      </c>
      <c r="K7" s="6"/>
      <c r="L7" s="11"/>
      <c r="N7" s="11"/>
      <c r="O7" s="17"/>
      <c r="P7" s="17"/>
      <c r="Q7" s="17"/>
      <c r="R7" s="17"/>
      <c r="S7" s="17"/>
      <c r="T7" s="17"/>
      <c r="U7" s="17"/>
    </row>
    <row r="8" spans="1:21" ht="16.5" customHeight="1" thickBot="1" x14ac:dyDescent="0.3">
      <c r="A8" s="52"/>
      <c r="B8" s="82" t="s">
        <v>9</v>
      </c>
      <c r="C8" s="20">
        <v>5</v>
      </c>
      <c r="D8" s="29">
        <v>1</v>
      </c>
      <c r="E8" s="28">
        <v>5</v>
      </c>
      <c r="F8" s="21">
        <v>3</v>
      </c>
      <c r="G8" s="47">
        <v>3</v>
      </c>
      <c r="H8" s="51">
        <f t="shared" si="1"/>
        <v>6</v>
      </c>
      <c r="I8" s="50"/>
      <c r="J8" s="56">
        <f t="shared" si="0"/>
        <v>5</v>
      </c>
      <c r="K8" s="6"/>
      <c r="L8" s="11"/>
      <c r="N8" s="11"/>
      <c r="O8" s="17"/>
      <c r="P8" s="17"/>
      <c r="Q8" s="17"/>
      <c r="R8" s="17"/>
      <c r="S8" s="17"/>
      <c r="T8" s="17"/>
      <c r="U8" s="17"/>
    </row>
    <row r="9" spans="1:21" ht="16.5" customHeight="1" thickBot="1" x14ac:dyDescent="0.3">
      <c r="A9" s="52"/>
      <c r="B9" s="82" t="s">
        <v>9</v>
      </c>
      <c r="C9" s="26">
        <v>6</v>
      </c>
      <c r="D9" s="34">
        <v>1</v>
      </c>
      <c r="E9" s="35">
        <v>5</v>
      </c>
      <c r="F9" s="27">
        <v>4</v>
      </c>
      <c r="G9" s="48">
        <v>4</v>
      </c>
      <c r="H9" s="58">
        <f t="shared" si="1"/>
        <v>8</v>
      </c>
      <c r="I9" s="57"/>
      <c r="J9" s="59">
        <f t="shared" si="0"/>
        <v>5</v>
      </c>
      <c r="K9" s="6"/>
      <c r="L9" s="11"/>
      <c r="N9" s="11"/>
      <c r="O9" s="17"/>
      <c r="P9" s="17"/>
      <c r="Q9" s="17"/>
      <c r="R9" s="17"/>
      <c r="S9" s="17"/>
      <c r="T9" s="17"/>
      <c r="U9" s="17"/>
    </row>
    <row r="10" spans="1:21" ht="15.75" customHeight="1" thickBot="1" x14ac:dyDescent="0.3">
      <c r="A10" s="52"/>
      <c r="B10" s="82" t="s">
        <v>9</v>
      </c>
      <c r="C10" s="60">
        <v>7</v>
      </c>
      <c r="D10" s="61">
        <v>0.8</v>
      </c>
      <c r="E10" s="62">
        <v>3.1</v>
      </c>
      <c r="F10" s="63">
        <v>8</v>
      </c>
      <c r="G10" s="64">
        <v>8</v>
      </c>
      <c r="H10" s="54">
        <f t="shared" si="1"/>
        <v>16</v>
      </c>
      <c r="I10" s="53"/>
      <c r="J10" s="55">
        <f t="shared" si="0"/>
        <v>2.4800000000000004</v>
      </c>
      <c r="K10" s="6"/>
      <c r="L10" s="11"/>
      <c r="N10" s="11"/>
      <c r="O10" s="17"/>
      <c r="P10" s="17"/>
      <c r="Q10" s="17"/>
      <c r="R10" s="17"/>
      <c r="S10" s="17"/>
      <c r="T10" s="17"/>
      <c r="U10" s="17"/>
    </row>
    <row r="11" spans="1:21" ht="15.75" customHeight="1" thickBot="1" x14ac:dyDescent="0.3">
      <c r="A11" s="52"/>
      <c r="B11" s="82" t="s">
        <v>9</v>
      </c>
      <c r="C11" s="69">
        <v>8</v>
      </c>
      <c r="D11" s="70">
        <v>0.8</v>
      </c>
      <c r="E11" s="71">
        <v>3.1</v>
      </c>
      <c r="F11" s="72">
        <v>9</v>
      </c>
      <c r="G11" s="73">
        <v>9</v>
      </c>
      <c r="H11" s="51">
        <f t="shared" si="1"/>
        <v>18</v>
      </c>
      <c r="I11" s="50"/>
      <c r="J11" s="56">
        <f t="shared" si="0"/>
        <v>2.4800000000000004</v>
      </c>
      <c r="K11" s="6"/>
      <c r="L11" s="11"/>
      <c r="N11" s="11"/>
      <c r="O11" s="17"/>
      <c r="P11" s="17"/>
      <c r="Q11" s="17"/>
      <c r="R11" s="17"/>
      <c r="S11" s="17"/>
      <c r="T11" s="17"/>
      <c r="U11" s="17"/>
    </row>
    <row r="12" spans="1:21" ht="15.75" customHeight="1" thickBot="1" x14ac:dyDescent="0.3">
      <c r="A12" s="52"/>
      <c r="B12" s="82" t="s">
        <v>9</v>
      </c>
      <c r="C12" s="20">
        <v>9</v>
      </c>
      <c r="D12" s="29">
        <v>1</v>
      </c>
      <c r="E12" s="28">
        <v>2.6</v>
      </c>
      <c r="F12" s="21">
        <v>5</v>
      </c>
      <c r="G12" s="47">
        <v>5</v>
      </c>
      <c r="H12" s="58">
        <f t="shared" si="1"/>
        <v>10</v>
      </c>
      <c r="I12" s="57"/>
      <c r="J12" s="59">
        <f t="shared" si="0"/>
        <v>2.6</v>
      </c>
      <c r="K12" s="6"/>
      <c r="L12" s="11"/>
      <c r="N12" s="11"/>
      <c r="O12" s="17"/>
      <c r="P12" s="17"/>
      <c r="Q12" s="17"/>
      <c r="R12" s="17"/>
      <c r="S12" s="17"/>
      <c r="T12" s="17"/>
      <c r="U12" s="17"/>
    </row>
    <row r="13" spans="1:21" ht="15.75" customHeight="1" thickBot="1" x14ac:dyDescent="0.3">
      <c r="A13" s="52"/>
      <c r="B13" s="82" t="s">
        <v>9</v>
      </c>
      <c r="C13" s="65">
        <v>10</v>
      </c>
      <c r="D13" s="66">
        <v>1</v>
      </c>
      <c r="E13" s="67">
        <v>2.6</v>
      </c>
      <c r="F13" s="68">
        <v>6</v>
      </c>
      <c r="G13" s="74">
        <v>6</v>
      </c>
      <c r="H13" s="54">
        <f t="shared" si="1"/>
        <v>12</v>
      </c>
      <c r="I13" s="53"/>
      <c r="J13" s="55">
        <f t="shared" si="0"/>
        <v>2.6</v>
      </c>
      <c r="K13" s="6"/>
      <c r="L13" s="11"/>
      <c r="N13" s="11"/>
      <c r="O13" s="17"/>
      <c r="P13" s="17"/>
      <c r="Q13" s="17"/>
      <c r="R13" s="17"/>
      <c r="S13" s="17"/>
      <c r="T13" s="17"/>
      <c r="U13" s="17"/>
    </row>
    <row r="14" spans="1:21" ht="15.75" customHeight="1" thickBot="1" x14ac:dyDescent="0.3">
      <c r="A14" s="52"/>
      <c r="B14" s="82" t="s">
        <v>9</v>
      </c>
      <c r="C14" s="42">
        <v>11</v>
      </c>
      <c r="D14" s="43">
        <v>1</v>
      </c>
      <c r="E14" s="44">
        <v>1.8</v>
      </c>
      <c r="F14" s="45">
        <v>9</v>
      </c>
      <c r="G14" s="46">
        <v>9</v>
      </c>
      <c r="H14" s="51">
        <f t="shared" si="1"/>
        <v>18</v>
      </c>
      <c r="I14" s="50"/>
      <c r="J14" s="56">
        <f t="shared" si="0"/>
        <v>1.8</v>
      </c>
      <c r="K14" s="6"/>
      <c r="L14" s="11"/>
      <c r="N14" s="11"/>
      <c r="O14" s="17"/>
      <c r="P14" s="17"/>
      <c r="Q14" s="17"/>
      <c r="R14" s="17"/>
      <c r="S14" s="17"/>
      <c r="T14" s="17"/>
      <c r="U14" s="17"/>
    </row>
    <row r="15" spans="1:21" ht="16.5" customHeight="1" thickBot="1" x14ac:dyDescent="0.3">
      <c r="A15" s="19"/>
      <c r="B15" s="82" t="s">
        <v>9</v>
      </c>
      <c r="C15" s="36">
        <v>12</v>
      </c>
      <c r="D15" s="37">
        <v>1</v>
      </c>
      <c r="E15" s="38">
        <v>3.4</v>
      </c>
      <c r="F15" s="39">
        <v>2</v>
      </c>
      <c r="G15" s="40">
        <v>2</v>
      </c>
      <c r="H15" s="54">
        <f>F15+G15</f>
        <v>4</v>
      </c>
      <c r="I15" s="53"/>
      <c r="J15" s="55">
        <f>D15*E15</f>
        <v>3.4</v>
      </c>
      <c r="K15" s="6"/>
      <c r="O15" s="17"/>
      <c r="P15" s="17"/>
      <c r="Q15" s="17"/>
      <c r="R15" s="17"/>
      <c r="S15" s="17"/>
      <c r="T15" s="17"/>
      <c r="U15" s="17"/>
    </row>
    <row r="16" spans="1:21" ht="29.25" thickBot="1" x14ac:dyDescent="0.3">
      <c r="A16" s="15"/>
      <c r="B16" s="82" t="s">
        <v>9</v>
      </c>
      <c r="C16" s="22">
        <v>13</v>
      </c>
      <c r="D16" s="30">
        <v>0.8</v>
      </c>
      <c r="E16" s="31">
        <v>4.3</v>
      </c>
      <c r="F16" s="23">
        <v>4</v>
      </c>
      <c r="G16" s="41">
        <v>4</v>
      </c>
      <c r="H16" s="51">
        <f>F16+G16</f>
        <v>8</v>
      </c>
      <c r="I16" s="50"/>
      <c r="J16" s="56">
        <f>D16*E16</f>
        <v>3.44</v>
      </c>
      <c r="K16" s="6"/>
    </row>
    <row r="17" spans="2:11" ht="29.25" thickBot="1" x14ac:dyDescent="0.3">
      <c r="B17" s="82" t="s">
        <v>9</v>
      </c>
      <c r="C17" s="20">
        <v>14</v>
      </c>
      <c r="D17" s="29">
        <v>0.8</v>
      </c>
      <c r="E17" s="28">
        <v>4.3</v>
      </c>
      <c r="F17" s="21">
        <v>4</v>
      </c>
      <c r="G17" s="47">
        <v>4</v>
      </c>
      <c r="H17" s="58">
        <f>F17+G17</f>
        <v>8</v>
      </c>
      <c r="I17" s="57"/>
      <c r="J17" s="59">
        <f t="shared" ref="J17:J25" si="2">D17*E17</f>
        <v>3.44</v>
      </c>
      <c r="K17" s="6"/>
    </row>
    <row r="18" spans="2:11" ht="29.25" thickBot="1" x14ac:dyDescent="0.3">
      <c r="B18" s="82" t="s">
        <v>9</v>
      </c>
      <c r="C18" s="24">
        <v>15</v>
      </c>
      <c r="D18" s="32">
        <v>0.8</v>
      </c>
      <c r="E18" s="33">
        <v>4.3</v>
      </c>
      <c r="F18" s="25">
        <v>3</v>
      </c>
      <c r="G18" s="49">
        <v>3</v>
      </c>
      <c r="H18" s="54">
        <f t="shared" ref="H18:H25" si="3">F18+G18</f>
        <v>6</v>
      </c>
      <c r="I18" s="53"/>
      <c r="J18" s="55">
        <f t="shared" si="2"/>
        <v>3.44</v>
      </c>
      <c r="K18" s="6"/>
    </row>
    <row r="19" spans="2:11" ht="29.25" thickBot="1" x14ac:dyDescent="0.3">
      <c r="B19" s="82" t="s">
        <v>9</v>
      </c>
      <c r="C19" s="20">
        <v>16</v>
      </c>
      <c r="D19" s="29">
        <v>0.8</v>
      </c>
      <c r="E19" s="28">
        <v>5</v>
      </c>
      <c r="F19" s="21">
        <v>5</v>
      </c>
      <c r="G19" s="47">
        <v>5</v>
      </c>
      <c r="H19" s="51">
        <f t="shared" si="3"/>
        <v>10</v>
      </c>
      <c r="I19" s="50"/>
      <c r="J19" s="56">
        <f t="shared" si="2"/>
        <v>4</v>
      </c>
      <c r="K19" s="6"/>
    </row>
    <row r="20" spans="2:11" ht="29.25" thickBot="1" x14ac:dyDescent="0.3">
      <c r="B20" s="82" t="s">
        <v>9</v>
      </c>
      <c r="C20" s="26">
        <v>17</v>
      </c>
      <c r="D20" s="34">
        <v>1</v>
      </c>
      <c r="E20" s="35">
        <v>5</v>
      </c>
      <c r="F20" s="27">
        <v>4</v>
      </c>
      <c r="G20" s="48">
        <v>4</v>
      </c>
      <c r="H20" s="58">
        <f t="shared" si="3"/>
        <v>8</v>
      </c>
      <c r="I20" s="57"/>
      <c r="J20" s="59">
        <f t="shared" si="2"/>
        <v>5</v>
      </c>
      <c r="K20" s="6"/>
    </row>
    <row r="21" spans="2:11" ht="29.25" thickBot="1" x14ac:dyDescent="0.3">
      <c r="B21" s="82" t="s">
        <v>9</v>
      </c>
      <c r="C21" s="60">
        <v>18</v>
      </c>
      <c r="D21" s="61">
        <v>1</v>
      </c>
      <c r="E21" s="62">
        <v>5</v>
      </c>
      <c r="F21" s="63">
        <v>3</v>
      </c>
      <c r="G21" s="64">
        <v>3</v>
      </c>
      <c r="H21" s="54">
        <f t="shared" si="3"/>
        <v>6</v>
      </c>
      <c r="I21" s="53"/>
      <c r="J21" s="55">
        <f t="shared" si="2"/>
        <v>5</v>
      </c>
      <c r="K21" s="6"/>
    </row>
    <row r="22" spans="2:11" ht="28.5" x14ac:dyDescent="0.25">
      <c r="B22" s="82" t="s">
        <v>9</v>
      </c>
      <c r="C22" s="69">
        <v>19</v>
      </c>
      <c r="D22" s="70">
        <v>1</v>
      </c>
      <c r="E22" s="71">
        <v>5</v>
      </c>
      <c r="F22" s="72">
        <v>3</v>
      </c>
      <c r="G22" s="73">
        <v>3</v>
      </c>
      <c r="H22" s="51">
        <f t="shared" si="3"/>
        <v>6</v>
      </c>
      <c r="I22" s="50"/>
      <c r="J22" s="56">
        <f t="shared" si="2"/>
        <v>5</v>
      </c>
      <c r="K22" s="6"/>
    </row>
    <row r="23" spans="2:11" ht="29.25" thickBot="1" x14ac:dyDescent="0.3">
      <c r="B23" s="83" t="s">
        <v>10</v>
      </c>
      <c r="C23" s="20">
        <v>20</v>
      </c>
      <c r="D23" s="29">
        <v>0.8</v>
      </c>
      <c r="E23" s="28">
        <v>3.9</v>
      </c>
      <c r="F23" s="21">
        <v>9</v>
      </c>
      <c r="G23" s="47">
        <v>9</v>
      </c>
      <c r="H23" s="58">
        <f t="shared" si="3"/>
        <v>18</v>
      </c>
      <c r="I23" s="57"/>
      <c r="J23" s="59">
        <f t="shared" si="2"/>
        <v>3.12</v>
      </c>
      <c r="K23" s="6"/>
    </row>
    <row r="24" spans="2:11" ht="28.5" x14ac:dyDescent="0.25">
      <c r="B24" s="83" t="s">
        <v>10</v>
      </c>
      <c r="C24" s="65">
        <v>21</v>
      </c>
      <c r="D24" s="66">
        <v>1</v>
      </c>
      <c r="E24" s="67">
        <v>3.7</v>
      </c>
      <c r="F24" s="68">
        <v>8</v>
      </c>
      <c r="G24" s="74">
        <v>8</v>
      </c>
      <c r="H24" s="54">
        <f t="shared" si="3"/>
        <v>16</v>
      </c>
      <c r="I24" s="53"/>
      <c r="J24" s="55">
        <f t="shared" si="2"/>
        <v>3.7</v>
      </c>
      <c r="K24" s="6"/>
    </row>
    <row r="25" spans="2:11" ht="29.25" thickBot="1" x14ac:dyDescent="0.3">
      <c r="B25" s="83" t="s">
        <v>10</v>
      </c>
      <c r="C25" s="42">
        <v>22</v>
      </c>
      <c r="D25" s="43">
        <v>1</v>
      </c>
      <c r="E25" s="44">
        <v>3.7</v>
      </c>
      <c r="F25" s="45">
        <v>7</v>
      </c>
      <c r="G25" s="46">
        <v>7</v>
      </c>
      <c r="H25" s="51">
        <f t="shared" si="3"/>
        <v>14</v>
      </c>
      <c r="I25" s="50"/>
      <c r="J25" s="56">
        <f t="shared" si="2"/>
        <v>3.7</v>
      </c>
      <c r="K25" s="6"/>
    </row>
    <row r="26" spans="2:11" ht="28.5" x14ac:dyDescent="0.25">
      <c r="B26" s="83" t="s">
        <v>10</v>
      </c>
      <c r="C26" s="36">
        <v>23</v>
      </c>
      <c r="D26" s="37">
        <v>1</v>
      </c>
      <c r="E26" s="38">
        <v>3.7</v>
      </c>
      <c r="F26" s="39">
        <v>6</v>
      </c>
      <c r="G26" s="40">
        <v>6</v>
      </c>
      <c r="H26" s="54">
        <f>F26+G26</f>
        <v>12</v>
      </c>
      <c r="I26" s="53"/>
      <c r="J26" s="55">
        <f>D26*E26</f>
        <v>3.7</v>
      </c>
      <c r="K26" s="6"/>
    </row>
    <row r="27" spans="2:11" ht="28.5" x14ac:dyDescent="0.25">
      <c r="B27" s="83" t="s">
        <v>10</v>
      </c>
      <c r="C27" s="22">
        <v>24</v>
      </c>
      <c r="D27" s="30">
        <v>0.8</v>
      </c>
      <c r="E27" s="31">
        <v>2.4</v>
      </c>
      <c r="F27" s="23">
        <v>8</v>
      </c>
      <c r="G27" s="41">
        <v>8</v>
      </c>
      <c r="H27" s="51">
        <f>F27+G27</f>
        <v>16</v>
      </c>
      <c r="I27" s="50"/>
      <c r="J27" s="56">
        <f>D27*E27</f>
        <v>1.92</v>
      </c>
      <c r="K27" s="6"/>
    </row>
    <row r="28" spans="2:11" ht="29.25" thickBot="1" x14ac:dyDescent="0.3">
      <c r="B28" s="83" t="s">
        <v>10</v>
      </c>
      <c r="C28" s="20">
        <v>25</v>
      </c>
      <c r="D28" s="29">
        <v>0.8</v>
      </c>
      <c r="E28" s="28">
        <v>2.4</v>
      </c>
      <c r="F28" s="21">
        <v>8</v>
      </c>
      <c r="G28" s="47">
        <v>8</v>
      </c>
      <c r="H28" s="58">
        <f>F28+G28</f>
        <v>16</v>
      </c>
      <c r="I28" s="57"/>
      <c r="J28" s="59">
        <f t="shared" ref="J28:J36" si="4">D28*E28</f>
        <v>1.92</v>
      </c>
      <c r="K28" s="6"/>
    </row>
    <row r="29" spans="2:11" ht="28.5" x14ac:dyDescent="0.25">
      <c r="B29" s="83" t="s">
        <v>10</v>
      </c>
      <c r="C29" s="24">
        <v>26</v>
      </c>
      <c r="D29" s="32">
        <v>0.8</v>
      </c>
      <c r="E29" s="33">
        <v>4.3</v>
      </c>
      <c r="F29" s="25">
        <v>5</v>
      </c>
      <c r="G29" s="49">
        <v>5</v>
      </c>
      <c r="H29" s="54">
        <f t="shared" ref="H29:H36" si="5">F29+G29</f>
        <v>10</v>
      </c>
      <c r="I29" s="53"/>
      <c r="J29" s="55">
        <f t="shared" si="4"/>
        <v>3.44</v>
      </c>
      <c r="K29" s="6"/>
    </row>
    <row r="30" spans="2:11" ht="28.5" x14ac:dyDescent="0.25">
      <c r="B30" s="83" t="s">
        <v>10</v>
      </c>
      <c r="C30" s="20">
        <v>27</v>
      </c>
      <c r="D30" s="29">
        <v>0.8</v>
      </c>
      <c r="E30" s="28">
        <v>4.3</v>
      </c>
      <c r="F30" s="21">
        <v>6</v>
      </c>
      <c r="G30" s="47">
        <v>6</v>
      </c>
      <c r="H30" s="51">
        <f t="shared" si="5"/>
        <v>12</v>
      </c>
      <c r="I30" s="50"/>
      <c r="J30" s="56">
        <f t="shared" si="4"/>
        <v>3.44</v>
      </c>
      <c r="K30" s="6"/>
    </row>
    <row r="31" spans="2:11" ht="29.25" thickBot="1" x14ac:dyDescent="0.3">
      <c r="B31" s="83" t="s">
        <v>10</v>
      </c>
      <c r="C31" s="26">
        <v>28</v>
      </c>
      <c r="D31" s="34">
        <v>0.8</v>
      </c>
      <c r="E31" s="35">
        <v>4.8</v>
      </c>
      <c r="F31" s="27">
        <v>6</v>
      </c>
      <c r="G31" s="48">
        <v>6</v>
      </c>
      <c r="H31" s="58">
        <f t="shared" si="5"/>
        <v>12</v>
      </c>
      <c r="I31" s="57"/>
      <c r="J31" s="59">
        <f t="shared" si="4"/>
        <v>3.84</v>
      </c>
      <c r="K31" s="6"/>
    </row>
    <row r="32" spans="2:11" ht="29.25" thickBot="1" x14ac:dyDescent="0.3">
      <c r="B32" s="83" t="s">
        <v>10</v>
      </c>
      <c r="C32" s="60">
        <v>29</v>
      </c>
      <c r="D32" s="61">
        <v>0.8</v>
      </c>
      <c r="E32" s="62">
        <v>4.8</v>
      </c>
      <c r="F32" s="63">
        <v>5</v>
      </c>
      <c r="G32" s="64">
        <v>5</v>
      </c>
      <c r="H32" s="54">
        <f t="shared" si="5"/>
        <v>10</v>
      </c>
      <c r="I32" s="53"/>
      <c r="J32" s="55">
        <f t="shared" si="4"/>
        <v>3.84</v>
      </c>
      <c r="K32" s="6"/>
    </row>
    <row r="33" spans="2:11" ht="28.5" x14ac:dyDescent="0.25">
      <c r="B33" s="83" t="s">
        <v>10</v>
      </c>
      <c r="C33" s="69">
        <v>30</v>
      </c>
      <c r="D33" s="70">
        <v>1</v>
      </c>
      <c r="E33" s="71">
        <v>2.2000000000000002</v>
      </c>
      <c r="F33" s="72">
        <v>3</v>
      </c>
      <c r="G33" s="73">
        <v>3</v>
      </c>
      <c r="H33" s="51">
        <f t="shared" si="5"/>
        <v>6</v>
      </c>
      <c r="I33" s="50"/>
      <c r="J33" s="56">
        <f t="shared" si="4"/>
        <v>2.2000000000000002</v>
      </c>
      <c r="K33" s="6"/>
    </row>
    <row r="34" spans="2:11" ht="29.25" thickBot="1" x14ac:dyDescent="0.3">
      <c r="B34" s="83" t="s">
        <v>10</v>
      </c>
      <c r="C34" s="20">
        <v>31</v>
      </c>
      <c r="D34" s="29">
        <v>1</v>
      </c>
      <c r="E34" s="28">
        <v>4.8</v>
      </c>
      <c r="F34" s="21">
        <v>2</v>
      </c>
      <c r="G34" s="47">
        <v>2</v>
      </c>
      <c r="H34" s="58">
        <f t="shared" si="5"/>
        <v>4</v>
      </c>
      <c r="I34" s="57"/>
      <c r="J34" s="59">
        <f t="shared" si="4"/>
        <v>4.8</v>
      </c>
      <c r="K34" s="6"/>
    </row>
    <row r="35" spans="2:11" ht="28.5" x14ac:dyDescent="0.25">
      <c r="B35" s="83" t="s">
        <v>10</v>
      </c>
      <c r="C35" s="65">
        <v>32</v>
      </c>
      <c r="D35" s="66">
        <v>1</v>
      </c>
      <c r="E35" s="67">
        <v>4.8</v>
      </c>
      <c r="F35" s="68">
        <v>3</v>
      </c>
      <c r="G35" s="74">
        <v>3</v>
      </c>
      <c r="H35" s="54">
        <f t="shared" si="5"/>
        <v>6</v>
      </c>
      <c r="I35" s="53"/>
      <c r="J35" s="55">
        <f t="shared" si="4"/>
        <v>4.8</v>
      </c>
      <c r="K35" s="6"/>
    </row>
    <row r="36" spans="2:11" ht="29.25" thickBot="1" x14ac:dyDescent="0.3">
      <c r="B36" s="83" t="s">
        <v>10</v>
      </c>
      <c r="C36" s="42">
        <v>33</v>
      </c>
      <c r="D36" s="43">
        <v>1</v>
      </c>
      <c r="E36" s="44">
        <v>5</v>
      </c>
      <c r="F36" s="45">
        <v>3</v>
      </c>
      <c r="G36" s="46">
        <v>3</v>
      </c>
      <c r="H36" s="51">
        <f t="shared" si="5"/>
        <v>6</v>
      </c>
      <c r="I36" s="50"/>
      <c r="J36" s="56">
        <f t="shared" si="4"/>
        <v>5</v>
      </c>
      <c r="K36" s="6"/>
    </row>
    <row r="37" spans="2:11" ht="28.5" x14ac:dyDescent="0.25">
      <c r="B37" s="83" t="s">
        <v>10</v>
      </c>
      <c r="C37" s="36">
        <v>34</v>
      </c>
      <c r="D37" s="37">
        <v>1</v>
      </c>
      <c r="E37" s="38">
        <v>4.0999999999999996</v>
      </c>
      <c r="F37" s="39">
        <v>2</v>
      </c>
      <c r="G37" s="40">
        <v>2</v>
      </c>
      <c r="H37" s="54">
        <f>F37+G37</f>
        <v>4</v>
      </c>
      <c r="I37" s="53"/>
      <c r="J37" s="55">
        <f>D37*E37</f>
        <v>4.0999999999999996</v>
      </c>
      <c r="K37" s="6"/>
    </row>
    <row r="38" spans="2:11" ht="28.5" x14ac:dyDescent="0.25">
      <c r="B38" s="83" t="s">
        <v>10</v>
      </c>
      <c r="C38" s="22">
        <v>35</v>
      </c>
      <c r="D38" s="30">
        <v>1</v>
      </c>
      <c r="E38" s="31">
        <v>4.0999999999999996</v>
      </c>
      <c r="F38" s="23">
        <v>3</v>
      </c>
      <c r="G38" s="41">
        <v>3</v>
      </c>
      <c r="H38" s="51">
        <f>F38+G38</f>
        <v>6</v>
      </c>
      <c r="I38" s="50"/>
      <c r="J38" s="56">
        <f>D38*E38</f>
        <v>4.0999999999999996</v>
      </c>
      <c r="K38" s="6"/>
    </row>
    <row r="39" spans="2:11" ht="29.25" thickBot="1" x14ac:dyDescent="0.3">
      <c r="B39" s="83" t="s">
        <v>10</v>
      </c>
      <c r="C39" s="20">
        <v>36</v>
      </c>
      <c r="D39" s="29">
        <v>1</v>
      </c>
      <c r="E39" s="28">
        <v>4.0999999999999996</v>
      </c>
      <c r="F39" s="21">
        <v>4</v>
      </c>
      <c r="G39" s="47">
        <v>4</v>
      </c>
      <c r="H39" s="58">
        <f>F39+G39</f>
        <v>8</v>
      </c>
      <c r="I39" s="57"/>
      <c r="J39" s="59">
        <f t="shared" ref="J39" si="6">D39*E39</f>
        <v>4.0999999999999996</v>
      </c>
      <c r="K39" s="6"/>
    </row>
    <row r="40" spans="2:11" x14ac:dyDescent="0.25">
      <c r="K40" s="6"/>
    </row>
    <row r="43" spans="2:11" x14ac:dyDescent="0.25">
      <c r="H43" s="7">
        <f>SUM(H4:H36)</f>
        <v>343.5</v>
      </c>
      <c r="J43" s="1">
        <f>SUM(J4:J36)</f>
        <v>121.10000000000001</v>
      </c>
    </row>
    <row r="44" spans="2:11" x14ac:dyDescent="0.25">
      <c r="H44" s="4">
        <v>215</v>
      </c>
      <c r="J44" s="5">
        <v>8800</v>
      </c>
    </row>
    <row r="45" spans="2:11" x14ac:dyDescent="0.25">
      <c r="H45" s="8">
        <f>H43*H44</f>
        <v>73852.5</v>
      </c>
      <c r="I45" s="6"/>
      <c r="J45" s="8">
        <f>J43*J44</f>
        <v>1065680</v>
      </c>
    </row>
    <row r="46" spans="2:11" ht="15.75" thickBot="1" x14ac:dyDescent="0.3">
      <c r="G46" t="s">
        <v>11</v>
      </c>
      <c r="J46" s="2">
        <v>8800</v>
      </c>
    </row>
    <row r="47" spans="2:11" ht="15.75" thickBot="1" x14ac:dyDescent="0.3">
      <c r="G47" s="18"/>
      <c r="H47" s="18"/>
      <c r="I47" s="9"/>
      <c r="J47" s="10">
        <f>H45+J45</f>
        <v>1139532.5</v>
      </c>
    </row>
    <row r="48" spans="2:11" x14ac:dyDescent="0.25">
      <c r="F48" t="s">
        <v>8</v>
      </c>
      <c r="H48" s="75">
        <v>36</v>
      </c>
      <c r="I48" s="2">
        <v>890</v>
      </c>
      <c r="J48" s="2">
        <f>H48*I48</f>
        <v>32040</v>
      </c>
    </row>
    <row r="49" spans="8:10" x14ac:dyDescent="0.25">
      <c r="H49" t="s">
        <v>14</v>
      </c>
      <c r="I49" s="84" t="s">
        <v>15</v>
      </c>
      <c r="J49" s="2">
        <v>38000</v>
      </c>
    </row>
    <row r="50" spans="8:10" x14ac:dyDescent="0.25">
      <c r="I50" s="2"/>
      <c r="J50" s="1"/>
    </row>
    <row r="51" spans="8:10" ht="15.75" x14ac:dyDescent="0.25">
      <c r="H51" s="16"/>
      <c r="I51" s="12" t="s">
        <v>12</v>
      </c>
      <c r="J51" s="13">
        <f>SUM(J47:J49)</f>
        <v>1209572.5</v>
      </c>
    </row>
    <row r="53" spans="8:10" x14ac:dyDescent="0.25">
      <c r="I53" t="s">
        <v>13</v>
      </c>
    </row>
  </sheetData>
  <mergeCells count="3">
    <mergeCell ref="H3:J3"/>
    <mergeCell ref="F1:G1"/>
    <mergeCell ref="F2:G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Számolgatós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kettes</dc:creator>
  <cp:lastModifiedBy>Sandor Benedek</cp:lastModifiedBy>
  <cp:lastPrinted>2025-06-18T08:54:59Z</cp:lastPrinted>
  <dcterms:created xsi:type="dcterms:W3CDTF">2023-08-18T07:19:42Z</dcterms:created>
  <dcterms:modified xsi:type="dcterms:W3CDTF">2025-06-18T15:05:39Z</dcterms:modified>
</cp:coreProperties>
</file>